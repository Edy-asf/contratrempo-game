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as" sheetId="1" state="visible" r:id="rId1"/>
    <sheet name="Resumo" sheetId="2" state="visible" r:id="rId2"/>
    <sheet name="Efeitos" sheetId="3" state="visible" r:id="rId3"/>
  </sheets>
  <definedNames>
    <definedName name="_xlnm._FilterDatabase" localSheetId="0" hidden="1">'Cartas'!$A$1:$L$31</definedName>
    <definedName name="_xlnm._FilterDatabase" localSheetId="2" hidden="1">'Efeitos'!$A$1:$G$37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A6472"/>
      <sz val="9"/>
    </font>
    <font>
      <name val="Arial"/>
      <b val="1"/>
      <color rgb="00FFFFFF"/>
      <sz val="10"/>
    </font>
    <font>
      <name val="Arial"/>
      <b val="1"/>
      <color rgb="005A6472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E7A35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2A38"/>
      </patternFill>
    </fill>
    <fill>
      <patternFill patternType="solid">
        <fgColor rgb="00ECEFF3"/>
      </patternFill>
    </fill>
    <fill>
      <patternFill patternType="solid">
        <fgColor rgb="00DDF3DF"/>
      </patternFill>
    </fill>
    <fill>
      <patternFill patternType="solid">
        <fgColor rgb="00F8DDDD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10" fontId="10" fillId="3" borderId="1" applyAlignment="1" pivotButton="0" quotePrefix="0" xfId="0">
      <alignment horizontal="center" vertical="top" wrapText="1"/>
    </xf>
    <xf numFmtId="10" fontId="6" fillId="3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10" fontId="10" fillId="4" borderId="1" applyAlignment="1" pivotButton="0" quotePrefix="0" xfId="0">
      <alignment horizontal="center" vertical="top" wrapText="1"/>
    </xf>
    <xf numFmtId="10" fontId="6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10" fontId="10" fillId="5" borderId="1" applyAlignment="1" pivotButton="0" quotePrefix="0" xfId="0">
      <alignment horizontal="center" vertical="top" wrapText="1"/>
    </xf>
    <xf numFmtId="10" fontId="6" fillId="5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10" fontId="0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10" fontId="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10" fontId="0" fillId="5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9" fillId="0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164" fontId="6" fillId="3" borderId="1" applyAlignment="1" pivotButton="0" quotePrefix="0" xfId="0">
      <alignment horizontal="center" vertical="top" wrapText="1"/>
    </xf>
    <xf numFmtId="164" fontId="6" fillId="4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Ícaro</author>
  </authors>
  <commentList>
    <comment ref="B10" authorId="0" shapeId="0">
      <text>
        <t>Fonte: ItemCatalog.asset, campo BossRareMultiplier</t>
      </text>
    </comment>
    <comment ref="B11" authorId="0" shapeId="0">
      <text>
        <t>Fonte: ItemCatalog.asset, campo Choices</t>
      </text>
    </comment>
    <comment ref="B12" authorId="0" shapeId="0">
      <text>
        <t>Fonte: ItemCatalog.asset, campo Picks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20" customWidth="1" min="4" max="4"/>
    <col width="48" customWidth="1" min="5" max="5"/>
    <col width="36" customWidth="1" min="6" max="6"/>
    <col width="40" customWidth="1" min="7" max="7"/>
    <col width="11" customWidth="1" min="8" max="8"/>
    <col width="40" customWidth="1" min="9" max="9"/>
    <col width="15" customWidth="1" min="10" max="10"/>
    <col width="15" customWidth="1" min="11" max="11"/>
    <col width="16" customWidth="1" min="12" max="12"/>
  </cols>
  <sheetData>
    <row r="1" ht="42" customHeight="1">
      <c r="A1" s="1" t="inlineStr">
        <is>
          <t>Carta</t>
        </is>
      </c>
      <c r="B1" s="1" t="inlineStr">
        <is>
          <t>Chave (ficha)</t>
        </is>
      </c>
      <c r="C1" s="1" t="inlineStr">
        <is>
          <t>Raridade</t>
        </is>
      </c>
      <c r="D1" s="1" t="inlineStr">
        <is>
          <t>Selos</t>
        </is>
      </c>
      <c r="E1" s="1" t="inlineStr">
        <is>
          <t>Efeito (texto da carta)</t>
        </is>
      </c>
      <c r="F1" s="1" t="inlineStr">
        <is>
          <t>Acúmulo</t>
        </is>
      </c>
      <c r="G1" s="1" t="inlineStr">
        <is>
          <t>Frase (elementais)</t>
        </is>
      </c>
      <c r="H1" s="1" t="inlineStr">
        <is>
          <t>Consumível</t>
        </is>
      </c>
      <c r="I1" s="1" t="inlineStr">
        <is>
          <t>Atributos (1ª pilha / por pilha)</t>
        </is>
      </c>
      <c r="J1" s="1" t="inlineStr">
        <is>
          <t>Chance por carta (sala normal)</t>
        </is>
      </c>
      <c r="K1" s="1" t="inlineStr">
        <is>
          <t>Chance por carta (sala do chefe)</t>
        </is>
      </c>
      <c r="L1" s="1" t="inlineStr">
        <is>
          <t>Chance de aparecer numa escolha (aprox.)</t>
        </is>
      </c>
    </row>
    <row r="2">
      <c r="A2" s="2" t="inlineStr">
        <is>
          <t>Atuadores Leves</t>
        </is>
      </c>
      <c r="B2" s="3" t="inlineStr">
        <is>
          <t>AtuadoresLeves</t>
        </is>
      </c>
      <c r="C2" s="4" t="inlineStr">
        <is>
          <t>Comum</t>
        </is>
      </c>
      <c r="D2" s="3" t="inlineStr">
        <is>
          <t>Mobilidade</t>
        </is>
      </c>
      <c r="E2" s="3" t="inlineStr">
        <is>
          <t>+9% de velocidade de movimento.</t>
        </is>
      </c>
      <c r="F2" s="3" t="inlineStr">
        <is>
          <t>+9% por pilha.</t>
        </is>
      </c>
      <c r="G2" s="3" t="inlineStr"/>
      <c r="H2" s="5" t="inlineStr">
        <is>
          <t>Não</t>
        </is>
      </c>
      <c r="I2" s="3" t="inlineStr">
        <is>
          <t>MoveSpeed: 0,09 / 0,09</t>
        </is>
      </c>
      <c r="J2" s="6">
        <f>Resumo!$E$5</f>
        <v/>
      </c>
      <c r="K2" s="6">
        <f>Resumo!$F$5</f>
        <v/>
      </c>
      <c r="L2" s="7">
        <f>1-(1-J2)^Resumo!$B$11</f>
        <v/>
      </c>
    </row>
    <row r="3">
      <c r="A3" s="2" t="inlineStr">
        <is>
          <t>Bocal Estendido</t>
        </is>
      </c>
      <c r="B3" s="3" t="inlineStr">
        <is>
          <t>BocalEstendido</t>
        </is>
      </c>
      <c r="C3" s="4" t="inlineStr">
        <is>
          <t>Comum</t>
        </is>
      </c>
      <c r="D3" s="3" t="inlineStr">
        <is>
          <t>Mobilidade</t>
        </is>
      </c>
      <c r="E3" s="3" t="inlineStr">
        <is>
          <t>+20% de distância do dash.</t>
        </is>
      </c>
      <c r="F3" s="3" t="inlineStr">
        <is>
          <t>+20% por pilha.</t>
        </is>
      </c>
      <c r="G3" s="3" t="inlineStr"/>
      <c r="H3" s="5" t="inlineStr">
        <is>
          <t>Não</t>
        </is>
      </c>
      <c r="I3" s="3" t="inlineStr">
        <is>
          <t>DashDistance: 0,2 / 0,2</t>
        </is>
      </c>
      <c r="J3" s="6">
        <f>Resumo!$E$5</f>
        <v/>
      </c>
      <c r="K3" s="6">
        <f>Resumo!$F$5</f>
        <v/>
      </c>
      <c r="L3" s="7">
        <f>1-(1-J3)^Resumo!$B$11</f>
        <v/>
      </c>
    </row>
    <row r="4">
      <c r="A4" s="2" t="inlineStr">
        <is>
          <t>Cano Curto</t>
        </is>
      </c>
      <c r="B4" s="3" t="inlineStr">
        <is>
          <t>CanoCurto</t>
        </is>
      </c>
      <c r="C4" s="4" t="inlineStr">
        <is>
          <t>Comum</t>
        </is>
      </c>
      <c r="D4" s="3" t="inlineStr">
        <is>
          <t>Dano</t>
        </is>
      </c>
      <c r="E4" s="3" t="inlineStr">
        <is>
          <t>+12% de dano em inimigos a menos de 6 m.</t>
        </is>
      </c>
      <c r="F4" s="3" t="inlineStr">
        <is>
          <t>+12% por pilha.</t>
        </is>
      </c>
      <c r="G4" s="3" t="inlineStr"/>
      <c r="H4" s="5" t="inlineStr">
        <is>
          <t>Não</t>
        </is>
      </c>
      <c r="I4" s="3" t="inlineStr">
        <is>
          <t>CloseRangeDamage: 0,12 / 0,12</t>
        </is>
      </c>
      <c r="J4" s="6">
        <f>Resumo!$E$5</f>
        <v/>
      </c>
      <c r="K4" s="6">
        <f>Resumo!$F$5</f>
        <v/>
      </c>
      <c r="L4" s="7">
        <f>1-(1-J4)^Resumo!$B$11</f>
        <v/>
      </c>
    </row>
    <row r="5">
      <c r="A5" s="2" t="inlineStr">
        <is>
          <t>Capacitor de Impulso</t>
        </is>
      </c>
      <c r="B5" s="3" t="inlineStr">
        <is>
          <t>CapacitorDeImpulso</t>
        </is>
      </c>
      <c r="C5" s="4" t="inlineStr">
        <is>
          <t>Comum</t>
        </is>
      </c>
      <c r="D5" s="3" t="inlineStr">
        <is>
          <t>Mobilidade</t>
        </is>
      </c>
      <c r="E5" s="3" t="inlineStr">
        <is>
          <t>O dash recarrega 15% mais rápido.</t>
        </is>
      </c>
      <c r="F5" s="3" t="inlineStr">
        <is>
          <t>+15% de velocidade de recarga por pilha.</t>
        </is>
      </c>
      <c r="G5" s="3" t="inlineStr"/>
      <c r="H5" s="5" t="inlineStr">
        <is>
          <t>Não</t>
        </is>
      </c>
      <c r="I5" s="3" t="inlineStr">
        <is>
          <t>DashCooldownReduction: 0,15 / 0,15</t>
        </is>
      </c>
      <c r="J5" s="6">
        <f>Resumo!$E$5</f>
        <v/>
      </c>
      <c r="K5" s="6">
        <f>Resumo!$F$5</f>
        <v/>
      </c>
      <c r="L5" s="7">
        <f>1-(1-J5)^Resumo!$B$11</f>
        <v/>
      </c>
    </row>
    <row r="6">
      <c r="A6" s="2" t="inlineStr">
        <is>
          <t>Lente de Calibração</t>
        </is>
      </c>
      <c r="B6" s="3" t="inlineStr">
        <is>
          <t>LenteDeCalibracao</t>
        </is>
      </c>
      <c r="C6" s="4" t="inlineStr">
        <is>
          <t>Comum</t>
        </is>
      </c>
      <c r="D6" s="3" t="inlineStr">
        <is>
          <t>Dano</t>
        </is>
      </c>
      <c r="E6" s="3" t="inlineStr">
        <is>
          <t>+6% de chance de crítico.</t>
        </is>
      </c>
      <c r="F6" s="3" t="inlineStr">
        <is>
          <t>+6% de chance por pilha.</t>
        </is>
      </c>
      <c r="G6" s="3" t="inlineStr"/>
      <c r="H6" s="5" t="inlineStr">
        <is>
          <t>Não</t>
        </is>
      </c>
      <c r="I6" s="3" t="inlineStr">
        <is>
          <t>CritChance: 0,06 / 0,06</t>
        </is>
      </c>
      <c r="J6" s="6">
        <f>Resumo!$E$5</f>
        <v/>
      </c>
      <c r="K6" s="6">
        <f>Resumo!$F$5</f>
        <v/>
      </c>
      <c r="L6" s="7">
        <f>1-(1-J6)^Resumo!$B$11</f>
        <v/>
      </c>
    </row>
    <row r="7">
      <c r="A7" s="2" t="inlineStr">
        <is>
          <t>Lâmina de Fase</t>
        </is>
      </c>
      <c r="B7" s="3" t="inlineStr">
        <is>
          <t>LaminaDeFase</t>
        </is>
      </c>
      <c r="C7" s="4" t="inlineStr">
        <is>
          <t>Comum</t>
        </is>
      </c>
      <c r="D7" s="3" t="inlineStr">
        <is>
          <t>Dano, Mobilidade</t>
        </is>
      </c>
      <c r="E7" s="3" t="inlineStr">
        <is>
          <t>O dash corta quem atravessa: 120% do dano do tiro.</t>
        </is>
      </c>
      <c r="F7" s="3" t="inlineStr">
        <is>
          <t>+60% de dano por pilha.</t>
        </is>
      </c>
      <c r="G7" s="3" t="inlineStr"/>
      <c r="H7" s="5" t="inlineStr">
        <is>
          <t>Não</t>
        </is>
      </c>
      <c r="I7" s="3" t="inlineStr">
        <is>
          <t>DashDamage: 1,2 / 0,6</t>
        </is>
      </c>
      <c r="J7" s="6">
        <f>Resumo!$E$5</f>
        <v/>
      </c>
      <c r="K7" s="6">
        <f>Resumo!$F$5</f>
        <v/>
      </c>
      <c r="L7" s="7">
        <f>1-(1-J7)^Resumo!$B$11</f>
        <v/>
      </c>
    </row>
    <row r="8">
      <c r="A8" s="2" t="inlineStr">
        <is>
          <t>Núcleo Imantado</t>
        </is>
      </c>
      <c r="B8" s="3" t="inlineStr">
        <is>
          <t>NucleoImantado</t>
        </is>
      </c>
      <c r="C8" s="4" t="inlineStr">
        <is>
          <t>Comum</t>
        </is>
      </c>
      <c r="D8" s="3" t="inlineStr">
        <is>
          <t>Recurso</t>
        </is>
      </c>
      <c r="E8" s="3" t="inlineStr">
        <is>
          <t>Atrai Cronitas de 40% mais longe.</t>
        </is>
      </c>
      <c r="F8" s="3" t="inlineStr">
        <is>
          <t>+30% por pilha.</t>
        </is>
      </c>
      <c r="G8" s="3" t="inlineStr"/>
      <c r="H8" s="5" t="inlineStr">
        <is>
          <t>Não</t>
        </is>
      </c>
      <c r="I8" s="3" t="inlineStr">
        <is>
          <t>PickupRange: 0,4 / 0,3</t>
        </is>
      </c>
      <c r="J8" s="6">
        <f>Resumo!$E$5</f>
        <v/>
      </c>
      <c r="K8" s="6">
        <f>Resumo!$F$5</f>
        <v/>
      </c>
      <c r="L8" s="7">
        <f>1-(1-J8)^Resumo!$B$11</f>
        <v/>
      </c>
    </row>
    <row r="9">
      <c r="A9" s="2" t="inlineStr">
        <is>
          <t>Placa de Casco</t>
        </is>
      </c>
      <c r="B9" s="3" t="inlineStr">
        <is>
          <t>PlacaDeCasco</t>
        </is>
      </c>
      <c r="C9" s="4" t="inlineStr">
        <is>
          <t>Comum</t>
        </is>
      </c>
      <c r="D9" s="3" t="inlineStr">
        <is>
          <t>Defesa, Vida</t>
        </is>
      </c>
      <c r="E9" s="3" t="inlineStr">
        <is>
          <t>+15 de vida máxima.</t>
        </is>
      </c>
      <c r="F9" s="3" t="inlineStr">
        <is>
          <t>+15 por pilha.</t>
        </is>
      </c>
      <c r="G9" s="3" t="inlineStr"/>
      <c r="H9" s="5" t="inlineStr">
        <is>
          <t>Não</t>
        </is>
      </c>
      <c r="I9" s="3" t="inlineStr">
        <is>
          <t>MaxHealth: 15 / 15</t>
        </is>
      </c>
      <c r="J9" s="6">
        <f>Resumo!$E$5</f>
        <v/>
      </c>
      <c r="K9" s="6">
        <f>Resumo!$F$5</f>
        <v/>
      </c>
      <c r="L9" s="7">
        <f>1-(1-J9)^Resumo!$B$11</f>
        <v/>
      </c>
    </row>
    <row r="10">
      <c r="A10" s="2" t="inlineStr">
        <is>
          <t>Pólvora Sintética</t>
        </is>
      </c>
      <c r="B10" s="3" t="inlineStr">
        <is>
          <t>PolvoraSintetica</t>
        </is>
      </c>
      <c r="C10" s="4" t="inlineStr">
        <is>
          <t>Comum</t>
        </is>
      </c>
      <c r="D10" s="3" t="inlineStr">
        <is>
          <t>Dano</t>
        </is>
      </c>
      <c r="E10" s="3" t="inlineStr">
        <is>
          <t>+8% de dano em todos os tiros.</t>
        </is>
      </c>
      <c r="F10" s="3" t="inlineStr">
        <is>
          <t>+8% por pilha.</t>
        </is>
      </c>
      <c r="G10" s="3" t="inlineStr"/>
      <c r="H10" s="5" t="inlineStr">
        <is>
          <t>Não</t>
        </is>
      </c>
      <c r="I10" s="3" t="inlineStr">
        <is>
          <t>DamageBonus: 0,08 / 0,08</t>
        </is>
      </c>
      <c r="J10" s="6">
        <f>Resumo!$E$5</f>
        <v/>
      </c>
      <c r="K10" s="6">
        <f>Resumo!$F$5</f>
        <v/>
      </c>
      <c r="L10" s="7">
        <f>1-(1-J10)^Resumo!$B$11</f>
        <v/>
      </c>
    </row>
    <row r="11">
      <c r="A11" s="2" t="inlineStr">
        <is>
          <t>Resfriador Avançado</t>
        </is>
      </c>
      <c r="B11" s="3" t="inlineStr">
        <is>
          <t>ResfriadorAvancado</t>
        </is>
      </c>
      <c r="C11" s="4" t="inlineStr">
        <is>
          <t>Comum</t>
        </is>
      </c>
      <c r="D11" s="3" t="inlineStr">
        <is>
          <t>Arma</t>
        </is>
      </c>
      <c r="E11" s="3" t="inlineStr">
        <is>
          <t>A munição recarrega 15% mais rápido.</t>
        </is>
      </c>
      <c r="F11" s="3" t="inlineStr">
        <is>
          <t>-15% de tempo por pilha (no mínimo 25% do original).</t>
        </is>
      </c>
      <c r="G11" s="3" t="inlineStr"/>
      <c r="H11" s="5" t="inlineStr">
        <is>
          <t>Não</t>
        </is>
      </c>
      <c r="I11" s="3" t="inlineStr">
        <is>
          <t>ReloadTimeReduction: 0,15 / 0,15</t>
        </is>
      </c>
      <c r="J11" s="6">
        <f>Resumo!$E$5</f>
        <v/>
      </c>
      <c r="K11" s="6">
        <f>Resumo!$F$5</f>
        <v/>
      </c>
      <c r="L11" s="7">
        <f>1-(1-J11)^Resumo!$B$11</f>
        <v/>
      </c>
    </row>
    <row r="12">
      <c r="A12" s="2" t="inlineStr">
        <is>
          <t>Servo-Gatilho</t>
        </is>
      </c>
      <c r="B12" s="3" t="inlineStr">
        <is>
          <t>ServoGatilho</t>
        </is>
      </c>
      <c r="C12" s="4" t="inlineStr">
        <is>
          <t>Comum</t>
        </is>
      </c>
      <c r="D12" s="3" t="inlineStr">
        <is>
          <t>Arma</t>
        </is>
      </c>
      <c r="E12" s="3" t="inlineStr">
        <is>
          <t>+10% de cadência de tiro.</t>
        </is>
      </c>
      <c r="F12" s="3" t="inlineStr">
        <is>
          <t>+10% por pilha.</t>
        </is>
      </c>
      <c r="G12" s="3" t="inlineStr"/>
      <c r="H12" s="5" t="inlineStr">
        <is>
          <t>Não</t>
        </is>
      </c>
      <c r="I12" s="3" t="inlineStr">
        <is>
          <t>FireRate: 0,1 / 0,1</t>
        </is>
      </c>
      <c r="J12" s="6">
        <f>Resumo!$E$5</f>
        <v/>
      </c>
      <c r="K12" s="6">
        <f>Resumo!$F$5</f>
        <v/>
      </c>
      <c r="L12" s="7">
        <f>1-(1-J12)^Resumo!$B$11</f>
        <v/>
      </c>
    </row>
    <row r="13">
      <c r="A13" s="2" t="inlineStr">
        <is>
          <t>Soro de Biomassa</t>
        </is>
      </c>
      <c r="B13" s="3" t="inlineStr">
        <is>
          <t>SoroDeBiomassa</t>
        </is>
      </c>
      <c r="C13" s="4" t="inlineStr">
        <is>
          <t>Comum</t>
        </is>
      </c>
      <c r="D13" s="3" t="inlineStr">
        <is>
          <t>Vida</t>
        </is>
      </c>
      <c r="E13" s="3" t="inlineStr">
        <is>
          <t>Regenera 0,5 de vida por segundo.</t>
        </is>
      </c>
      <c r="F13" s="3" t="inlineStr">
        <is>
          <t>+0,5 por segundo por pilha.</t>
        </is>
      </c>
      <c r="G13" s="3" t="inlineStr"/>
      <c r="H13" s="5" t="inlineStr">
        <is>
          <t>Não</t>
        </is>
      </c>
      <c r="I13" s="3" t="inlineStr">
        <is>
          <t>HealthRegen: 0,5 / 0,5</t>
        </is>
      </c>
      <c r="J13" s="6">
        <f>Resumo!$E$5</f>
        <v/>
      </c>
      <c r="K13" s="6">
        <f>Resumo!$F$5</f>
        <v/>
      </c>
      <c r="L13" s="7">
        <f>1-(1-J13)^Resumo!$B$11</f>
        <v/>
      </c>
    </row>
    <row r="14">
      <c r="A14" s="2" t="inlineStr">
        <is>
          <t>Tambor Ampliado</t>
        </is>
      </c>
      <c r="B14" s="3" t="inlineStr">
        <is>
          <t>TamborAmpliado</t>
        </is>
      </c>
      <c r="C14" s="4" t="inlineStr">
        <is>
          <t>Comum</t>
        </is>
      </c>
      <c r="D14" s="3" t="inlineStr">
        <is>
          <t>Arma</t>
        </is>
      </c>
      <c r="E14" s="3" t="inlineStr">
        <is>
          <t>+20% de munição no pente.</t>
        </is>
      </c>
      <c r="F14" s="3" t="inlineStr">
        <is>
          <t>+20% por pilha.</t>
        </is>
      </c>
      <c r="G14" s="3" t="inlineStr"/>
      <c r="H14" s="5" t="inlineStr">
        <is>
          <t>Não</t>
        </is>
      </c>
      <c r="I14" s="3" t="inlineStr">
        <is>
          <t>AmmoCapacity: 0,2 / 0,2</t>
        </is>
      </c>
      <c r="J14" s="6">
        <f>Resumo!$E$5</f>
        <v/>
      </c>
      <c r="K14" s="6">
        <f>Resumo!$F$5</f>
        <v/>
      </c>
      <c r="L14" s="7">
        <f>1-(1-J14)^Resumo!$B$11</f>
        <v/>
      </c>
    </row>
    <row r="15">
      <c r="A15" s="2" t="inlineStr">
        <is>
          <t>Égide de Impulso</t>
        </is>
      </c>
      <c r="B15" s="3" t="inlineStr">
        <is>
          <t>EgideDeImpulso</t>
        </is>
      </c>
      <c r="C15" s="4" t="inlineStr">
        <is>
          <t>Comum</t>
        </is>
      </c>
      <c r="D15" s="3" t="inlineStr">
        <is>
          <t>Defesa, Mobilidade</t>
        </is>
      </c>
      <c r="E15" s="3" t="inlineStr">
        <is>
          <t>Cada dash dá 10 de barreira por 3 s.</t>
        </is>
      </c>
      <c r="F15" s="3" t="inlineStr">
        <is>
          <t>+6 de barreira por pilha.</t>
        </is>
      </c>
      <c r="G15" s="3" t="inlineStr"/>
      <c r="H15" s="5" t="inlineStr">
        <is>
          <t>Não</t>
        </is>
      </c>
      <c r="I15" s="3" t="inlineStr">
        <is>
          <t>DashBarrier: 10 / 6</t>
        </is>
      </c>
      <c r="J15" s="6">
        <f>Resumo!$E$5</f>
        <v/>
      </c>
      <c r="K15" s="6">
        <f>Resumo!$F$5</f>
        <v/>
      </c>
      <c r="L15" s="7">
        <f>1-(1-J15)^Resumo!$B$11</f>
        <v/>
      </c>
    </row>
    <row r="16">
      <c r="A16" s="8" t="inlineStr">
        <is>
          <t>Acelerador Térmico</t>
        </is>
      </c>
      <c r="B16" s="9" t="inlineStr">
        <is>
          <t>AceleradorTermico</t>
        </is>
      </c>
      <c r="C16" s="10" t="inlineStr">
        <is>
          <t>Incomum</t>
        </is>
      </c>
      <c r="D16" s="9" t="inlineStr">
        <is>
          <t>Dano, Fogo</t>
        </is>
      </c>
      <c r="E16" s="9" t="inlineStr">
        <is>
          <t>Inimigos em chamas recebem +20% de dano.</t>
        </is>
      </c>
      <c r="F16" s="9" t="inlineStr">
        <is>
          <t>+15% de dano por pilha.</t>
        </is>
      </c>
      <c r="G16" s="9" t="inlineStr">
        <is>
          <t>Tudo derrete mais rápido quando já está queimando.</t>
        </is>
      </c>
      <c r="H16" s="11" t="inlineStr">
        <is>
          <t>Não</t>
        </is>
      </c>
      <c r="I16" s="9" t="inlineStr">
        <is>
          <t>BurningVulnerability: 0,2 / 0,15</t>
        </is>
      </c>
      <c r="J16" s="12">
        <f>Resumo!$E$6</f>
        <v/>
      </c>
      <c r="K16" s="12">
        <f>Resumo!$F$6</f>
        <v/>
      </c>
      <c r="L16" s="13">
        <f>1-(1-J16)^Resumo!$B$11</f>
        <v/>
      </c>
    </row>
    <row r="17">
      <c r="A17" s="8" t="inlineStr">
        <is>
          <t>Bobina Ressonante</t>
        </is>
      </c>
      <c r="B17" s="9" t="inlineStr">
        <is>
          <t>BobinaRessonante</t>
        </is>
      </c>
      <c r="C17" s="10" t="inlineStr">
        <is>
          <t>Incomum</t>
        </is>
      </c>
      <c r="D17" s="9" t="inlineStr">
        <is>
          <t>Ao acertar, Elétrico</t>
        </is>
      </c>
      <c r="E17" s="9" t="inlineStr">
        <is>
          <t>15% ao acertar: um raio salta para 2 inimigos (70% do dano).</t>
        </is>
      </c>
      <c r="F17" s="9" t="inlineStr">
        <is>
          <t>+1 inimigo alcançado por pilha.</t>
        </is>
      </c>
      <c r="G17" s="9" t="inlineStr">
        <is>
          <t>E a sua música era elétrica.</t>
        </is>
      </c>
      <c r="H17" s="11" t="inlineStr">
        <is>
          <t>Não</t>
        </is>
      </c>
      <c r="I17" s="9" t="inlineStr">
        <is>
          <t>LightningChance: 0,15 / 0
LightningTargets: 2 / 1
LightningDamage: 0,7 / 0</t>
        </is>
      </c>
      <c r="J17" s="12">
        <f>Resumo!$E$6</f>
        <v/>
      </c>
      <c r="K17" s="12">
        <f>Resumo!$F$6</f>
        <v/>
      </c>
      <c r="L17" s="13">
        <f>1-(1-J17)^Resumo!$B$11</f>
        <v/>
      </c>
    </row>
    <row r="18">
      <c r="A18" s="8" t="inlineStr">
        <is>
          <t>Cartucho Incendiário</t>
        </is>
      </c>
      <c r="B18" s="9" t="inlineStr">
        <is>
          <t>CartuchoIncendiario</t>
        </is>
      </c>
      <c r="C18" s="10" t="inlineStr">
        <is>
          <t>Incomum</t>
        </is>
      </c>
      <c r="D18" s="9" t="inlineStr">
        <is>
          <t>Ao acertar, Fogo</t>
        </is>
      </c>
      <c r="E18" s="9" t="inlineStr">
        <is>
          <t>15% ao acertar: incendeia o alvo (60% do dano em 3 s). Acumula até 3 vezes.</t>
        </is>
      </c>
      <c r="F18" s="9" t="inlineStr">
        <is>
          <t>+30% do dano do tiro por queimadura, por pilha.</t>
        </is>
      </c>
      <c r="G18" s="9" t="inlineStr">
        <is>
          <t>O planeta queima, e nós também.</t>
        </is>
      </c>
      <c r="H18" s="11" t="inlineStr">
        <is>
          <t>Não</t>
        </is>
      </c>
      <c r="I18" s="9" t="inlineStr">
        <is>
          <t>BurnChance: 0,15 / 0
BurnDamage: 0,6 / 0,3</t>
        </is>
      </c>
      <c r="J18" s="12">
        <f>Resumo!$E$6</f>
        <v/>
      </c>
      <c r="K18" s="12">
        <f>Resumo!$F$6</f>
        <v/>
      </c>
      <c r="L18" s="13">
        <f>1-(1-J18)^Resumo!$B$11</f>
        <v/>
      </c>
    </row>
    <row r="19">
      <c r="A19" s="8" t="inlineStr">
        <is>
          <t>Cristal Ceifador</t>
        </is>
      </c>
      <c r="B19" s="9" t="inlineStr">
        <is>
          <t>CristalCeifador</t>
        </is>
      </c>
      <c r="C19" s="10" t="inlineStr">
        <is>
          <t>Incomum</t>
        </is>
      </c>
      <c r="D19" s="9" t="inlineStr">
        <is>
          <t>Vida</t>
        </is>
      </c>
      <c r="E19" s="9" t="inlineStr">
        <is>
          <t>Críticos curam 4 de vida.</t>
        </is>
      </c>
      <c r="F19" s="9" t="inlineStr">
        <is>
          <t>+4 de cura por pilha.</t>
        </is>
      </c>
      <c r="G19" s="9" t="inlineStr"/>
      <c r="H19" s="11" t="inlineStr">
        <is>
          <t>Não</t>
        </is>
      </c>
      <c r="I19" s="9" t="inlineStr">
        <is>
          <t>CritHeal: 4 / 4</t>
        </is>
      </c>
      <c r="J19" s="12">
        <f>Resumo!$E$6</f>
        <v/>
      </c>
      <c r="K19" s="12">
        <f>Resumo!$F$6</f>
        <v/>
      </c>
      <c r="L19" s="13">
        <f>1-(1-J19)^Resumo!$B$11</f>
        <v/>
      </c>
    </row>
    <row r="20">
      <c r="A20" s="8" t="inlineStr">
        <is>
          <t>Disparo Perfurante</t>
        </is>
      </c>
      <c r="B20" s="9" t="inlineStr">
        <is>
          <t>DisparoPerfurante</t>
        </is>
      </c>
      <c r="C20" s="10" t="inlineStr">
        <is>
          <t>Incomum</t>
        </is>
      </c>
      <c r="D20" s="9" t="inlineStr">
        <is>
          <t>Dano</t>
        </is>
      </c>
      <c r="E20" s="9" t="inlineStr">
        <is>
          <t>25% de o tiro atravessar o 1º inimigo (60% do dano nos seguintes).</t>
        </is>
      </c>
      <c r="F20" s="9" t="inlineStr">
        <is>
          <t>+15% de chance por pilha (acima de 100%, atravessa mais de um).</t>
        </is>
      </c>
      <c r="G20" s="9" t="inlineStr"/>
      <c r="H20" s="11" t="inlineStr">
        <is>
          <t>Não</t>
        </is>
      </c>
      <c r="I20" s="9" t="inlineStr">
        <is>
          <t>PierceChance: 0,25 / 0,15</t>
        </is>
      </c>
      <c r="J20" s="12">
        <f>Resumo!$E$6</f>
        <v/>
      </c>
      <c r="K20" s="12">
        <f>Resumo!$F$6</f>
        <v/>
      </c>
      <c r="L20" s="13">
        <f>1-(1-J20)^Resumo!$B$11</f>
        <v/>
      </c>
    </row>
    <row r="21">
      <c r="A21" s="8" t="inlineStr">
        <is>
          <t>Eco Temporal</t>
        </is>
      </c>
      <c r="B21" s="9" t="inlineStr">
        <is>
          <t>EcoTemporal</t>
        </is>
      </c>
      <c r="C21" s="10" t="inlineStr">
        <is>
          <t>Incomum</t>
        </is>
      </c>
      <c r="D21" s="9" t="inlineStr">
        <is>
          <t>Arma, Tempo</t>
        </is>
      </c>
      <c r="E21" s="9" t="inlineStr">
        <is>
          <t>15% de chance de o tiro se repetir.</t>
        </is>
      </c>
      <c r="F21" s="9" t="inlineStr">
        <is>
          <t>+15% de chance por pilha (acima de 100%, repete mais de uma vez).</t>
        </is>
      </c>
      <c r="G21" s="9" t="inlineStr">
        <is>
          <t>O passado também sabe atirar.</t>
        </is>
      </c>
      <c r="H21" s="11" t="inlineStr">
        <is>
          <t>Não</t>
        </is>
      </c>
      <c r="I21" s="9" t="inlineStr">
        <is>
          <t>EchoChance: 0,15 / 0,15</t>
        </is>
      </c>
      <c r="J21" s="12">
        <f>Resumo!$E$6</f>
        <v/>
      </c>
      <c r="K21" s="12">
        <f>Resumo!$F$6</f>
        <v/>
      </c>
      <c r="L21" s="13">
        <f>1-(1-J21)^Resumo!$B$11</f>
        <v/>
      </c>
    </row>
    <row r="22">
      <c r="A22" s="8" t="inlineStr">
        <is>
          <t>Escudo de Sincronia</t>
        </is>
      </c>
      <c r="B22" s="9" t="inlineStr">
        <is>
          <t>EscudoDeSincronia</t>
        </is>
      </c>
      <c r="C22" s="10" t="inlineStr">
        <is>
          <t>Incomum</t>
        </is>
      </c>
      <c r="D22" s="9" t="inlineStr">
        <is>
          <t>Defesa</t>
        </is>
      </c>
      <c r="E22" s="9" t="inlineStr">
        <is>
          <t>Escudo de 8% da vida. Recarrega após 3 s sem dano.</t>
        </is>
      </c>
      <c r="F22" s="9" t="inlineStr">
        <is>
          <t>+8% da vida máxima por pilha.</t>
        </is>
      </c>
      <c r="G22" s="9" t="inlineStr"/>
      <c r="H22" s="11" t="inlineStr">
        <is>
          <t>Não</t>
        </is>
      </c>
      <c r="I22" s="9" t="inlineStr">
        <is>
          <t>ShieldFraction: 0,08 / 0,08</t>
        </is>
      </c>
      <c r="J22" s="12">
        <f>Resumo!$E$6</f>
        <v/>
      </c>
      <c r="K22" s="12">
        <f>Resumo!$F$6</f>
        <v/>
      </c>
      <c r="L22" s="13">
        <f>1-(1-J22)^Resumo!$B$11</f>
        <v/>
      </c>
    </row>
    <row r="23">
      <c r="A23" s="8" t="inlineStr">
        <is>
          <t>Injetor de Adrenalina</t>
        </is>
      </c>
      <c r="B23" s="9" t="inlineStr">
        <is>
          <t>InjetorDeAdrenalina</t>
        </is>
      </c>
      <c r="C23" s="10" t="inlineStr">
        <is>
          <t>Incomum</t>
        </is>
      </c>
      <c r="D23" s="9" t="inlineStr">
        <is>
          <t>Arma, Mobilidade</t>
        </is>
      </c>
      <c r="E23" s="9" t="inlineStr">
        <is>
          <t>Ao levar dano: +15% de velocidade e cadência por 4 s (recarga de 10 s).</t>
        </is>
      </c>
      <c r="F23" s="9" t="inlineStr">
        <is>
          <t>+4 s de duração por pilha (a recarga não muda).</t>
        </is>
      </c>
      <c r="G23" s="9" t="inlineStr"/>
      <c r="H23" s="11" t="inlineStr">
        <is>
          <t>Não</t>
        </is>
      </c>
      <c r="I23" s="9" t="inlineStr">
        <is>
          <t>AdrenalineDuration: 4 / 4</t>
        </is>
      </c>
      <c r="J23" s="12">
        <f>Resumo!$E$6</f>
        <v/>
      </c>
      <c r="K23" s="12">
        <f>Resumo!$F$6</f>
        <v/>
      </c>
      <c r="L23" s="13">
        <f>1-(1-J23)^Resumo!$B$11</f>
        <v/>
      </c>
    </row>
    <row r="24">
      <c r="A24" s="8" t="inlineStr">
        <is>
          <t>Munição Atordoante</t>
        </is>
      </c>
      <c r="B24" s="9" t="inlineStr">
        <is>
          <t>MunicaoAtordoante</t>
        </is>
      </c>
      <c r="C24" s="10" t="inlineStr">
        <is>
          <t>Incomum</t>
        </is>
      </c>
      <c r="D24" s="9" t="inlineStr">
        <is>
          <t>Ao acertar, Tempo</t>
        </is>
      </c>
      <c r="E24" s="9" t="inlineStr">
        <is>
          <t>15% ao acertar: o inimigo fica 30% mais lento por 2 s.</t>
        </is>
      </c>
      <c r="F24" s="9" t="inlineStr">
        <is>
          <t>+10% de lentidão por pilha (até 70%).</t>
        </is>
      </c>
      <c r="G24" s="9" t="inlineStr">
        <is>
          <t>Por dois segundos, o tempo esquece deles.</t>
        </is>
      </c>
      <c r="H24" s="11" t="inlineStr">
        <is>
          <t>Não</t>
        </is>
      </c>
      <c r="I24" s="9" t="inlineStr">
        <is>
          <t>SlowChance: 0,15 / 0
SlowAmount: 0,3 / 0,1</t>
        </is>
      </c>
      <c r="J24" s="12">
        <f>Resumo!$E$6</f>
        <v/>
      </c>
      <c r="K24" s="12">
        <f>Resumo!$F$6</f>
        <v/>
      </c>
      <c r="L24" s="13">
        <f>1-(1-J24)^Resumo!$B$11</f>
        <v/>
      </c>
    </row>
    <row r="25">
      <c r="A25" s="8" t="inlineStr">
        <is>
          <t>Propulsor Auxiliar</t>
        </is>
      </c>
      <c r="B25" s="9" t="inlineStr">
        <is>
          <t>PropulsorAuxiliar</t>
        </is>
      </c>
      <c r="C25" s="10" t="inlineStr">
        <is>
          <t>Incomum</t>
        </is>
      </c>
      <c r="D25" s="9" t="inlineStr">
        <is>
          <t>Mobilidade</t>
        </is>
      </c>
      <c r="E25" s="9" t="inlineStr">
        <is>
          <t>+1 pulo no ar.</t>
        </is>
      </c>
      <c r="F25" s="9" t="inlineStr">
        <is>
          <t>+1 pulo por pilha.</t>
        </is>
      </c>
      <c r="G25" s="9" t="inlineStr"/>
      <c r="H25" s="11" t="inlineStr">
        <is>
          <t>Não</t>
        </is>
      </c>
      <c r="I25" s="9" t="inlineStr">
        <is>
          <t>AirJumps: 1 / 1</t>
        </is>
      </c>
      <c r="J25" s="12">
        <f>Resumo!$E$6</f>
        <v/>
      </c>
      <c r="K25" s="12">
        <f>Resumo!$F$6</f>
        <v/>
      </c>
      <c r="L25" s="13">
        <f>1-(1-J25)^Resumo!$B$11</f>
        <v/>
      </c>
    </row>
    <row r="26">
      <c r="A26" s="8" t="inlineStr">
        <is>
          <t>Resina Volátil</t>
        </is>
      </c>
      <c r="B26" s="9" t="inlineStr">
        <is>
          <t>ResinaVolatil</t>
        </is>
      </c>
      <c r="C26" s="10" t="inlineStr">
        <is>
          <t>Incomum</t>
        </is>
      </c>
      <c r="D26" s="9" t="inlineStr">
        <is>
          <t>Dano, Fogo</t>
        </is>
      </c>
      <c r="E26" s="9" t="inlineStr">
        <is>
          <t>Inimigos mortos explodem: 150% do dano em 4 m.</t>
        </is>
      </c>
      <c r="F26" s="9" t="inlineStr">
        <is>
          <t>+75% de dano e +1,5 m de raio por pilha.</t>
        </is>
      </c>
      <c r="G26" s="9" t="inlineStr">
        <is>
          <t>Kairós guarda rancor em cada gota.</t>
        </is>
      </c>
      <c r="H26" s="11" t="inlineStr">
        <is>
          <t>Não</t>
        </is>
      </c>
      <c r="I26" s="9" t="inlineStr">
        <is>
          <t>ExplosionDamage: 1,5 / 0,75
ExplosionRadius: 4 / 1,5</t>
        </is>
      </c>
      <c r="J26" s="12">
        <f>Resumo!$E$6</f>
        <v/>
      </c>
      <c r="K26" s="12">
        <f>Resumo!$F$6</f>
        <v/>
      </c>
      <c r="L26" s="13">
        <f>1-(1-J26)^Resumo!$B$11</f>
        <v/>
      </c>
    </row>
    <row r="27">
      <c r="A27" s="14" t="inlineStr">
        <is>
          <t>Amplificador Focal</t>
        </is>
      </c>
      <c r="B27" s="15" t="inlineStr">
        <is>
          <t>AmplificadorFocal</t>
        </is>
      </c>
      <c r="C27" s="16" t="inlineStr">
        <is>
          <t>Raro</t>
        </is>
      </c>
      <c r="D27" s="15" t="inlineStr">
        <is>
          <t>Dano</t>
        </is>
      </c>
      <c r="E27" s="15" t="inlineStr">
        <is>
          <t>Críticos causam 3x em vez de 2x.</t>
        </is>
      </c>
      <c r="F27" s="15" t="inlineStr">
        <is>
          <t>+100% de dano crítico por pilha.</t>
        </is>
      </c>
      <c r="G27" s="15" t="inlineStr"/>
      <c r="H27" s="17" t="inlineStr">
        <is>
          <t>Não</t>
        </is>
      </c>
      <c r="I27" s="15" t="inlineStr">
        <is>
          <t>CritDamage: 1 / 1</t>
        </is>
      </c>
      <c r="J27" s="18">
        <f>Resumo!$E$7</f>
        <v/>
      </c>
      <c r="K27" s="18">
        <f>Resumo!$F$7</f>
        <v/>
      </c>
      <c r="L27" s="19">
        <f>1-(1-J27)^Resumo!$B$11</f>
        <v/>
      </c>
    </row>
    <row r="28">
      <c r="A28" s="14" t="inlineStr">
        <is>
          <t>Coração Aeônida</t>
        </is>
      </c>
      <c r="B28" s="15" t="inlineStr">
        <is>
          <t>CoracaoAeonida</t>
        </is>
      </c>
      <c r="C28" s="16" t="inlineStr">
        <is>
          <t>Raro</t>
        </is>
      </c>
      <c r="D28" s="15" t="inlineStr">
        <is>
          <t>Dano, Tempo</t>
        </is>
      </c>
      <c r="E28" s="15" t="inlineStr">
        <is>
          <t>+1% de dano por 0,1x de multiplicador de tempo (máx. +250%).</t>
        </is>
      </c>
      <c r="F28" s="15" t="inlineStr">
        <is>
          <t>+1% por 0,1x por pilha (o limite de +250% não muda).</t>
        </is>
      </c>
      <c r="G28" s="15" t="inlineStr">
        <is>
          <t>O tempo não perdoa ninguém. Mas com você, ele abre uma exceção.</t>
        </is>
      </c>
      <c r="H28" s="17" t="inlineStr">
        <is>
          <t>Não</t>
        </is>
      </c>
      <c r="I28" s="15" t="inlineStr">
        <is>
          <t>DamagePerTenthMultiplier: 0,01 / 0,01</t>
        </is>
      </c>
      <c r="J28" s="18">
        <f>Resumo!$E$7</f>
        <v/>
      </c>
      <c r="K28" s="18">
        <f>Resumo!$F$7</f>
        <v/>
      </c>
      <c r="L28" s="19">
        <f>1-(1-J28)^Resumo!$B$11</f>
        <v/>
      </c>
    </row>
    <row r="29">
      <c r="A29" s="14" t="inlineStr">
        <is>
          <t>Câmara Dupla</t>
        </is>
      </c>
      <c r="B29" s="15" t="inlineStr">
        <is>
          <t>CamaraDupla</t>
        </is>
      </c>
      <c r="C29" s="16" t="inlineStr">
        <is>
          <t>Raro</t>
        </is>
      </c>
      <c r="D29" s="15" t="inlineStr">
        <is>
          <t>Mobilidade</t>
        </is>
      </c>
      <c r="E29" s="15" t="inlineStr">
        <is>
          <t>+1 carga de dash.</t>
        </is>
      </c>
      <c r="F29" s="15" t="inlineStr">
        <is>
          <t>+1 carga por pilha.</t>
        </is>
      </c>
      <c r="G29" s="15" t="inlineStr"/>
      <c r="H29" s="17" t="inlineStr">
        <is>
          <t>Não</t>
        </is>
      </c>
      <c r="I29" s="15" t="inlineStr">
        <is>
          <t>DashCharges: 1 / 1</t>
        </is>
      </c>
      <c r="J29" s="18">
        <f>Resumo!$E$7</f>
        <v/>
      </c>
      <c r="K29" s="18">
        <f>Resumo!$F$7</f>
        <v/>
      </c>
      <c r="L29" s="19">
        <f>1-(1-J29)^Resumo!$B$11</f>
        <v/>
      </c>
    </row>
    <row r="30">
      <c r="A30" s="14" t="inlineStr">
        <is>
          <t>Mísseis de Sondagem</t>
        </is>
      </c>
      <c r="B30" s="15" t="inlineStr">
        <is>
          <t>MisseisDeSondagem</t>
        </is>
      </c>
      <c r="C30" s="16" t="inlineStr">
        <is>
          <t>Raro</t>
        </is>
      </c>
      <c r="D30" s="15" t="inlineStr">
        <is>
          <t>Dano, Ao acertar</t>
        </is>
      </c>
      <c r="E30" s="15" t="inlineStr">
        <is>
          <t>10% ao acertar: míssil teleguiado com 300% do dano.</t>
        </is>
      </c>
      <c r="F30" s="15" t="inlineStr">
        <is>
          <t>+300% de dano do míssil por pilha.</t>
        </is>
      </c>
      <c r="G30" s="15" t="inlineStr"/>
      <c r="H30" s="17" t="inlineStr">
        <is>
          <t>Não</t>
        </is>
      </c>
      <c r="I30" s="15" t="inlineStr">
        <is>
          <t>MissileChance: 0,1 / 0
MissileDamage: 3 / 3</t>
        </is>
      </c>
      <c r="J30" s="18">
        <f>Resumo!$E$7</f>
        <v/>
      </c>
      <c r="K30" s="18">
        <f>Resumo!$F$7</f>
        <v/>
      </c>
      <c r="L30" s="19">
        <f>1-(1-J30)^Resumo!$B$11</f>
        <v/>
      </c>
    </row>
    <row r="31">
      <c r="A31" s="14" t="inlineStr">
        <is>
          <t>Segunda Ignição</t>
        </is>
      </c>
      <c r="B31" s="15" t="inlineStr">
        <is>
          <t>SegundaIgnicao</t>
        </is>
      </c>
      <c r="C31" s="16" t="inlineStr">
        <is>
          <t>Raro</t>
        </is>
      </c>
      <c r="D31" s="15" t="inlineStr">
        <is>
          <t>Vida</t>
        </is>
      </c>
      <c r="E31" s="15" t="inlineStr">
        <is>
          <t>Ao morrer, revive com metade da vida. Gasta o item.</t>
        </is>
      </c>
      <c r="F31" s="15" t="inlineStr">
        <is>
          <t>+1 revivida por pilha (cada uma consome uma pilha).</t>
        </is>
      </c>
      <c r="G31" s="15" t="inlineStr"/>
      <c r="H31" s="17" t="inlineStr">
        <is>
          <t>Sim</t>
        </is>
      </c>
      <c r="I31" s="15" t="inlineStr">
        <is>
          <t>Revives: 1 / 1</t>
        </is>
      </c>
      <c r="J31" s="18">
        <f>Resumo!$E$7</f>
        <v/>
      </c>
      <c r="K31" s="18">
        <f>Resumo!$F$7</f>
        <v/>
      </c>
      <c r="L31" s="19">
        <f>1-(1-J31)^Resumo!$B$11</f>
        <v/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20" customWidth="1" min="4" max="4"/>
    <col width="22" customWidth="1" min="5" max="5"/>
    <col width="22" customWidth="1" min="6" max="6"/>
  </cols>
  <sheetData>
    <row r="1">
      <c r="A1" s="20" t="inlineStr">
        <is>
          <t>Cartas de item — resumo do sorteio</t>
        </is>
      </c>
    </row>
    <row r="2" ht="30" customHeight="1">
      <c r="A2" s="21" t="inlineStr">
        <is>
          <t>Valores em azul vêm do ItemCatalog.asset (pesos, multiplicador de Raro na sala do chefe, cartas oferecidas e escolhidas). Mude-os aqui para simular outro balanceamento: as chances recalculam.</t>
        </is>
      </c>
    </row>
    <row r="4" ht="42" customHeight="1">
      <c r="A4" s="1" t="inlineStr">
        <is>
          <t>Raridade</t>
        </is>
      </c>
      <c r="B4" s="1" t="inlineStr">
        <is>
          <t>Peso</t>
        </is>
      </c>
      <c r="C4" s="1" t="inlineStr">
        <is>
          <t>Itens no catálogo</t>
        </is>
      </c>
      <c r="D4" s="1" t="inlineStr">
        <is>
          <t>Chance de a carta ser desta raridade</t>
        </is>
      </c>
      <c r="E4" s="1" t="inlineStr">
        <is>
          <t>Chance por carta de cada item (sala normal)</t>
        </is>
      </c>
      <c r="F4" s="1" t="inlineStr">
        <is>
          <t>Chance por carta de cada item (sala do chefe)</t>
        </is>
      </c>
    </row>
    <row r="5">
      <c r="A5" s="4" t="inlineStr">
        <is>
          <t>Comum</t>
        </is>
      </c>
      <c r="B5" s="22" t="n">
        <v>70</v>
      </c>
      <c r="C5" s="5">
        <f>COUNTIF(Cartas!$C:$C,A5)</f>
        <v/>
      </c>
      <c r="D5" s="23">
        <f>B5/SUM($B$5:$B$7)</f>
        <v/>
      </c>
      <c r="E5" s="23">
        <f>IF(C5=0,0,D5/C5)</f>
        <v/>
      </c>
      <c r="F5" s="23">
        <f>IF(C5=0,0,(1-MIN(1,$D$7*$B$10))*B5/($B$5+$B$6)/C5)</f>
        <v/>
      </c>
    </row>
    <row r="6">
      <c r="A6" s="10" t="inlineStr">
        <is>
          <t>Incomum</t>
        </is>
      </c>
      <c r="B6" s="24" t="n">
        <v>25</v>
      </c>
      <c r="C6" s="11">
        <f>COUNTIF(Cartas!$C:$C,A6)</f>
        <v/>
      </c>
      <c r="D6" s="25">
        <f>B6/SUM($B$5:$B$7)</f>
        <v/>
      </c>
      <c r="E6" s="25">
        <f>IF(C6=0,0,D6/C6)</f>
        <v/>
      </c>
      <c r="F6" s="25">
        <f>IF(C6=0,0,(1-MIN(1,$D$7*$B$10))*B6/($B$5+$B$6)/C6)</f>
        <v/>
      </c>
    </row>
    <row r="7">
      <c r="A7" s="16" t="inlineStr">
        <is>
          <t>Raro</t>
        </is>
      </c>
      <c r="B7" s="26" t="n">
        <v>5</v>
      </c>
      <c r="C7" s="17">
        <f>COUNTIF(Cartas!$C:$C,A7)</f>
        <v/>
      </c>
      <c r="D7" s="27">
        <f>B7/SUM($B$5:$B$7)</f>
        <v/>
      </c>
      <c r="E7" s="27">
        <f>IF(C7=0,0,D7/C7)</f>
        <v/>
      </c>
      <c r="F7" s="27">
        <f>IF(C7=0,0,MIN(1,D7*$B$10)/C7)</f>
        <v/>
      </c>
    </row>
    <row r="8">
      <c r="A8" s="28" t="inlineStr">
        <is>
          <t>Total</t>
        </is>
      </c>
      <c r="B8" s="29">
        <f>SUM(B5:B7)</f>
        <v/>
      </c>
      <c r="C8" s="29">
        <f>SUM(C5:C7)</f>
        <v/>
      </c>
    </row>
    <row r="10">
      <c r="A10" s="30" t="inlineStr">
        <is>
          <t>Multiplicador da chance de Raro na sala do chefe</t>
        </is>
      </c>
      <c r="B10" s="31" t="n">
        <v>2</v>
      </c>
    </row>
    <row r="11">
      <c r="A11" s="30" t="inlineStr">
        <is>
          <t>Cartas oferecidas por escolha</t>
        </is>
      </c>
      <c r="B11" s="31" t="n">
        <v>4</v>
      </c>
    </row>
    <row r="12">
      <c r="A12" s="30" t="inlineStr">
        <is>
          <t>Cartas escolhidas por escolha</t>
        </is>
      </c>
      <c r="B12" s="31" t="n">
        <v>2</v>
      </c>
    </row>
    <row r="14" ht="30" customHeight="1">
      <c r="A14" s="21" t="inlineStr">
        <is>
          <t>A chance de um item aparecer numa escolha (aba Cartas) é aproximada: 1 - (1 - chance por carta) ^ cartas oferecidas. O jogo não repete itens numa mesma escolha, o que deixa a chance real um pouco maior.</t>
        </is>
      </c>
    </row>
  </sheetData>
  <mergeCells count="2">
    <mergeCell ref="A2:F2"/>
    <mergeCell ref="A14:F1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6" customWidth="1" min="3" max="3"/>
    <col width="11" customWidth="1" min="4" max="4"/>
    <col width="13" customWidth="1" min="5" max="5"/>
    <col width="9" customWidth="1" min="6" max="6"/>
    <col width="16" customWidth="1" min="7" max="7"/>
  </cols>
  <sheetData>
    <row r="1" ht="30" customHeight="1">
      <c r="A1" s="1" t="inlineStr">
        <is>
          <t>Carta</t>
        </is>
      </c>
      <c r="B1" s="1" t="inlineStr">
        <is>
          <t>Raridade</t>
        </is>
      </c>
      <c r="C1" s="1" t="inlineStr">
        <is>
          <t>Atributo (PlayerStat)</t>
        </is>
      </c>
      <c r="D1" s="1" t="inlineStr">
        <is>
          <t>1ª pilha</t>
        </is>
      </c>
      <c r="E1" s="1" t="inlineStr">
        <is>
          <t>Por pilha extra</t>
        </is>
      </c>
      <c r="F1" s="1" t="inlineStr">
        <is>
          <t>Pilhas</t>
        </is>
      </c>
      <c r="G1" s="1" t="inlineStr">
        <is>
          <t>Valor com as pilhas</t>
        </is>
      </c>
    </row>
    <row r="2">
      <c r="A2" s="3" t="inlineStr">
        <is>
          <t>Atuadores Leves</t>
        </is>
      </c>
      <c r="B2" s="4" t="inlineStr">
        <is>
          <t>Comum</t>
        </is>
      </c>
      <c r="C2" s="5" t="inlineStr">
        <is>
          <t>MoveSpeed</t>
        </is>
      </c>
      <c r="D2" s="32" t="n">
        <v>0.09</v>
      </c>
      <c r="E2" s="32" t="n">
        <v>0.09</v>
      </c>
      <c r="F2" s="22" t="n">
        <v>1</v>
      </c>
      <c r="G2" s="32">
        <f>IF(F2&lt;=0,0,D2+E2*(F2-1))</f>
        <v/>
      </c>
    </row>
    <row r="3">
      <c r="A3" s="3" t="inlineStr">
        <is>
          <t>Bocal Estendido</t>
        </is>
      </c>
      <c r="B3" s="4" t="inlineStr">
        <is>
          <t>Comum</t>
        </is>
      </c>
      <c r="C3" s="5" t="inlineStr">
        <is>
          <t>DashDistance</t>
        </is>
      </c>
      <c r="D3" s="32" t="n">
        <v>0.2</v>
      </c>
      <c r="E3" s="32" t="n">
        <v>0.2</v>
      </c>
      <c r="F3" s="22" t="n">
        <v>1</v>
      </c>
      <c r="G3" s="32">
        <f>IF(F3&lt;=0,0,D3+E3*(F3-1))</f>
        <v/>
      </c>
    </row>
    <row r="4">
      <c r="A4" s="3" t="inlineStr">
        <is>
          <t>Cano Curto</t>
        </is>
      </c>
      <c r="B4" s="4" t="inlineStr">
        <is>
          <t>Comum</t>
        </is>
      </c>
      <c r="C4" s="5" t="inlineStr">
        <is>
          <t>CloseRangeDamage</t>
        </is>
      </c>
      <c r="D4" s="32" t="n">
        <v>0.12</v>
      </c>
      <c r="E4" s="32" t="n">
        <v>0.12</v>
      </c>
      <c r="F4" s="22" t="n">
        <v>1</v>
      </c>
      <c r="G4" s="32">
        <f>IF(F4&lt;=0,0,D4+E4*(F4-1))</f>
        <v/>
      </c>
    </row>
    <row r="5">
      <c r="A5" s="3" t="inlineStr">
        <is>
          <t>Capacitor de Impulso</t>
        </is>
      </c>
      <c r="B5" s="4" t="inlineStr">
        <is>
          <t>Comum</t>
        </is>
      </c>
      <c r="C5" s="5" t="inlineStr">
        <is>
          <t>DashCooldownReduction</t>
        </is>
      </c>
      <c r="D5" s="32" t="n">
        <v>0.15</v>
      </c>
      <c r="E5" s="32" t="n">
        <v>0.15</v>
      </c>
      <c r="F5" s="22" t="n">
        <v>1</v>
      </c>
      <c r="G5" s="32">
        <f>IF(F5&lt;=0,0,D5+E5*(F5-1))</f>
        <v/>
      </c>
    </row>
    <row r="6">
      <c r="A6" s="3" t="inlineStr">
        <is>
          <t>Lente de Calibração</t>
        </is>
      </c>
      <c r="B6" s="4" t="inlineStr">
        <is>
          <t>Comum</t>
        </is>
      </c>
      <c r="C6" s="5" t="inlineStr">
        <is>
          <t>CritChance</t>
        </is>
      </c>
      <c r="D6" s="32" t="n">
        <v>0.06</v>
      </c>
      <c r="E6" s="32" t="n">
        <v>0.06</v>
      </c>
      <c r="F6" s="22" t="n">
        <v>1</v>
      </c>
      <c r="G6" s="32">
        <f>IF(F6&lt;=0,0,D6+E6*(F6-1))</f>
        <v/>
      </c>
    </row>
    <row r="7">
      <c r="A7" s="3" t="inlineStr">
        <is>
          <t>Lâmina de Fase</t>
        </is>
      </c>
      <c r="B7" s="4" t="inlineStr">
        <is>
          <t>Comum</t>
        </is>
      </c>
      <c r="C7" s="5" t="inlineStr">
        <is>
          <t>DashDamage</t>
        </is>
      </c>
      <c r="D7" s="32" t="n">
        <v>1.2</v>
      </c>
      <c r="E7" s="32" t="n">
        <v>0.6</v>
      </c>
      <c r="F7" s="22" t="n">
        <v>1</v>
      </c>
      <c r="G7" s="32">
        <f>IF(F7&lt;=0,0,D7+E7*(F7-1))</f>
        <v/>
      </c>
    </row>
    <row r="8">
      <c r="A8" s="3" t="inlineStr">
        <is>
          <t>Núcleo Imantado</t>
        </is>
      </c>
      <c r="B8" s="4" t="inlineStr">
        <is>
          <t>Comum</t>
        </is>
      </c>
      <c r="C8" s="5" t="inlineStr">
        <is>
          <t>PickupRange</t>
        </is>
      </c>
      <c r="D8" s="32" t="n">
        <v>0.4</v>
      </c>
      <c r="E8" s="32" t="n">
        <v>0.3</v>
      </c>
      <c r="F8" s="22" t="n">
        <v>1</v>
      </c>
      <c r="G8" s="32">
        <f>IF(F8&lt;=0,0,D8+E8*(F8-1))</f>
        <v/>
      </c>
    </row>
    <row r="9">
      <c r="A9" s="3" t="inlineStr">
        <is>
          <t>Placa de Casco</t>
        </is>
      </c>
      <c r="B9" s="4" t="inlineStr">
        <is>
          <t>Comum</t>
        </is>
      </c>
      <c r="C9" s="5" t="inlineStr">
        <is>
          <t>MaxHealth</t>
        </is>
      </c>
      <c r="D9" s="32" t="n">
        <v>15</v>
      </c>
      <c r="E9" s="32" t="n">
        <v>15</v>
      </c>
      <c r="F9" s="22" t="n">
        <v>1</v>
      </c>
      <c r="G9" s="32">
        <f>IF(F9&lt;=0,0,D9+E9*(F9-1))</f>
        <v/>
      </c>
    </row>
    <row r="10">
      <c r="A10" s="3" t="inlineStr">
        <is>
          <t>Pólvora Sintética</t>
        </is>
      </c>
      <c r="B10" s="4" t="inlineStr">
        <is>
          <t>Comum</t>
        </is>
      </c>
      <c r="C10" s="5" t="inlineStr">
        <is>
          <t>DamageBonus</t>
        </is>
      </c>
      <c r="D10" s="32" t="n">
        <v>0.08</v>
      </c>
      <c r="E10" s="32" t="n">
        <v>0.08</v>
      </c>
      <c r="F10" s="22" t="n">
        <v>1</v>
      </c>
      <c r="G10" s="32">
        <f>IF(F10&lt;=0,0,D10+E10*(F10-1))</f>
        <v/>
      </c>
    </row>
    <row r="11">
      <c r="A11" s="3" t="inlineStr">
        <is>
          <t>Resfriador Avançado</t>
        </is>
      </c>
      <c r="B11" s="4" t="inlineStr">
        <is>
          <t>Comum</t>
        </is>
      </c>
      <c r="C11" s="5" t="inlineStr">
        <is>
          <t>ReloadTimeReduction</t>
        </is>
      </c>
      <c r="D11" s="32" t="n">
        <v>0.15</v>
      </c>
      <c r="E11" s="32" t="n">
        <v>0.15</v>
      </c>
      <c r="F11" s="22" t="n">
        <v>1</v>
      </c>
      <c r="G11" s="32">
        <f>IF(F11&lt;=0,0,D11+E11*(F11-1))</f>
        <v/>
      </c>
    </row>
    <row r="12">
      <c r="A12" s="3" t="inlineStr">
        <is>
          <t>Servo-Gatilho</t>
        </is>
      </c>
      <c r="B12" s="4" t="inlineStr">
        <is>
          <t>Comum</t>
        </is>
      </c>
      <c r="C12" s="5" t="inlineStr">
        <is>
          <t>FireRate</t>
        </is>
      </c>
      <c r="D12" s="32" t="n">
        <v>0.1</v>
      </c>
      <c r="E12" s="32" t="n">
        <v>0.1</v>
      </c>
      <c r="F12" s="22" t="n">
        <v>1</v>
      </c>
      <c r="G12" s="32">
        <f>IF(F12&lt;=0,0,D12+E12*(F12-1))</f>
        <v/>
      </c>
    </row>
    <row r="13">
      <c r="A13" s="3" t="inlineStr">
        <is>
          <t>Soro de Biomassa</t>
        </is>
      </c>
      <c r="B13" s="4" t="inlineStr">
        <is>
          <t>Comum</t>
        </is>
      </c>
      <c r="C13" s="5" t="inlineStr">
        <is>
          <t>HealthRegen</t>
        </is>
      </c>
      <c r="D13" s="32" t="n">
        <v>0.5</v>
      </c>
      <c r="E13" s="32" t="n">
        <v>0.5</v>
      </c>
      <c r="F13" s="22" t="n">
        <v>1</v>
      </c>
      <c r="G13" s="32">
        <f>IF(F13&lt;=0,0,D13+E13*(F13-1))</f>
        <v/>
      </c>
    </row>
    <row r="14">
      <c r="A14" s="3" t="inlineStr">
        <is>
          <t>Tambor Ampliado</t>
        </is>
      </c>
      <c r="B14" s="4" t="inlineStr">
        <is>
          <t>Comum</t>
        </is>
      </c>
      <c r="C14" s="5" t="inlineStr">
        <is>
          <t>AmmoCapacity</t>
        </is>
      </c>
      <c r="D14" s="32" t="n">
        <v>0.2</v>
      </c>
      <c r="E14" s="32" t="n">
        <v>0.2</v>
      </c>
      <c r="F14" s="22" t="n">
        <v>1</v>
      </c>
      <c r="G14" s="32">
        <f>IF(F14&lt;=0,0,D14+E14*(F14-1))</f>
        <v/>
      </c>
    </row>
    <row r="15">
      <c r="A15" s="3" t="inlineStr">
        <is>
          <t>Égide de Impulso</t>
        </is>
      </c>
      <c r="B15" s="4" t="inlineStr">
        <is>
          <t>Comum</t>
        </is>
      </c>
      <c r="C15" s="5" t="inlineStr">
        <is>
          <t>DashBarrier</t>
        </is>
      </c>
      <c r="D15" s="32" t="n">
        <v>10</v>
      </c>
      <c r="E15" s="32" t="n">
        <v>6</v>
      </c>
      <c r="F15" s="22" t="n">
        <v>1</v>
      </c>
      <c r="G15" s="32">
        <f>IF(F15&lt;=0,0,D15+E15*(F15-1))</f>
        <v/>
      </c>
    </row>
    <row r="16">
      <c r="A16" s="9" t="inlineStr">
        <is>
          <t>Acelerador Térmico</t>
        </is>
      </c>
      <c r="B16" s="10" t="inlineStr">
        <is>
          <t>Incomum</t>
        </is>
      </c>
      <c r="C16" s="11" t="inlineStr">
        <is>
          <t>BurningVulnerability</t>
        </is>
      </c>
      <c r="D16" s="33" t="n">
        <v>0.2</v>
      </c>
      <c r="E16" s="33" t="n">
        <v>0.15</v>
      </c>
      <c r="F16" s="24" t="n">
        <v>1</v>
      </c>
      <c r="G16" s="33">
        <f>IF(F16&lt;=0,0,D16+E16*(F16-1))</f>
        <v/>
      </c>
    </row>
    <row r="17">
      <c r="A17" s="9" t="inlineStr">
        <is>
          <t>Bobina Ressonante</t>
        </is>
      </c>
      <c r="B17" s="10" t="inlineStr">
        <is>
          <t>Incomum</t>
        </is>
      </c>
      <c r="C17" s="11" t="inlineStr">
        <is>
          <t>LightningChance</t>
        </is>
      </c>
      <c r="D17" s="33" t="n">
        <v>0.15</v>
      </c>
      <c r="E17" s="33" t="n">
        <v>0</v>
      </c>
      <c r="F17" s="24" t="n">
        <v>1</v>
      </c>
      <c r="G17" s="33">
        <f>IF(F17&lt;=0,0,D17+E17*(F17-1))</f>
        <v/>
      </c>
    </row>
    <row r="18">
      <c r="A18" s="9" t="inlineStr">
        <is>
          <t>Bobina Ressonante</t>
        </is>
      </c>
      <c r="B18" s="10" t="inlineStr">
        <is>
          <t>Incomum</t>
        </is>
      </c>
      <c r="C18" s="11" t="inlineStr">
        <is>
          <t>LightningTargets</t>
        </is>
      </c>
      <c r="D18" s="33" t="n">
        <v>2</v>
      </c>
      <c r="E18" s="33" t="n">
        <v>1</v>
      </c>
      <c r="F18" s="24" t="n">
        <v>1</v>
      </c>
      <c r="G18" s="33">
        <f>IF(F18&lt;=0,0,D18+E18*(F18-1))</f>
        <v/>
      </c>
    </row>
    <row r="19">
      <c r="A19" s="9" t="inlineStr">
        <is>
          <t>Bobina Ressonante</t>
        </is>
      </c>
      <c r="B19" s="10" t="inlineStr">
        <is>
          <t>Incomum</t>
        </is>
      </c>
      <c r="C19" s="11" t="inlineStr">
        <is>
          <t>LightningDamage</t>
        </is>
      </c>
      <c r="D19" s="33" t="n">
        <v>0.7</v>
      </c>
      <c r="E19" s="33" t="n">
        <v>0</v>
      </c>
      <c r="F19" s="24" t="n">
        <v>1</v>
      </c>
      <c r="G19" s="33">
        <f>IF(F19&lt;=0,0,D19+E19*(F19-1))</f>
        <v/>
      </c>
    </row>
    <row r="20">
      <c r="A20" s="9" t="inlineStr">
        <is>
          <t>Cartucho Incendiário</t>
        </is>
      </c>
      <c r="B20" s="10" t="inlineStr">
        <is>
          <t>Incomum</t>
        </is>
      </c>
      <c r="C20" s="11" t="inlineStr">
        <is>
          <t>BurnChance</t>
        </is>
      </c>
      <c r="D20" s="33" t="n">
        <v>0.15</v>
      </c>
      <c r="E20" s="33" t="n">
        <v>0</v>
      </c>
      <c r="F20" s="24" t="n">
        <v>1</v>
      </c>
      <c r="G20" s="33">
        <f>IF(F20&lt;=0,0,D20+E20*(F20-1))</f>
        <v/>
      </c>
    </row>
    <row r="21">
      <c r="A21" s="9" t="inlineStr">
        <is>
          <t>Cartucho Incendiário</t>
        </is>
      </c>
      <c r="B21" s="10" t="inlineStr">
        <is>
          <t>Incomum</t>
        </is>
      </c>
      <c r="C21" s="11" t="inlineStr">
        <is>
          <t>BurnDamage</t>
        </is>
      </c>
      <c r="D21" s="33" t="n">
        <v>0.6</v>
      </c>
      <c r="E21" s="33" t="n">
        <v>0.3</v>
      </c>
      <c r="F21" s="24" t="n">
        <v>1</v>
      </c>
      <c r="G21" s="33">
        <f>IF(F21&lt;=0,0,D21+E21*(F21-1))</f>
        <v/>
      </c>
    </row>
    <row r="22">
      <c r="A22" s="9" t="inlineStr">
        <is>
          <t>Cristal Ceifador</t>
        </is>
      </c>
      <c r="B22" s="10" t="inlineStr">
        <is>
          <t>Incomum</t>
        </is>
      </c>
      <c r="C22" s="11" t="inlineStr">
        <is>
          <t>CritHeal</t>
        </is>
      </c>
      <c r="D22" s="33" t="n">
        <v>4</v>
      </c>
      <c r="E22" s="33" t="n">
        <v>4</v>
      </c>
      <c r="F22" s="24" t="n">
        <v>1</v>
      </c>
      <c r="G22" s="33">
        <f>IF(F22&lt;=0,0,D22+E22*(F22-1))</f>
        <v/>
      </c>
    </row>
    <row r="23">
      <c r="A23" s="9" t="inlineStr">
        <is>
          <t>Disparo Perfurante</t>
        </is>
      </c>
      <c r="B23" s="10" t="inlineStr">
        <is>
          <t>Incomum</t>
        </is>
      </c>
      <c r="C23" s="11" t="inlineStr">
        <is>
          <t>PierceChance</t>
        </is>
      </c>
      <c r="D23" s="33" t="n">
        <v>0.25</v>
      </c>
      <c r="E23" s="33" t="n">
        <v>0.15</v>
      </c>
      <c r="F23" s="24" t="n">
        <v>1</v>
      </c>
      <c r="G23" s="33">
        <f>IF(F23&lt;=0,0,D23+E23*(F23-1))</f>
        <v/>
      </c>
    </row>
    <row r="24">
      <c r="A24" s="9" t="inlineStr">
        <is>
          <t>Eco Temporal</t>
        </is>
      </c>
      <c r="B24" s="10" t="inlineStr">
        <is>
          <t>Incomum</t>
        </is>
      </c>
      <c r="C24" s="11" t="inlineStr">
        <is>
          <t>EchoChance</t>
        </is>
      </c>
      <c r="D24" s="33" t="n">
        <v>0.15</v>
      </c>
      <c r="E24" s="33" t="n">
        <v>0.15</v>
      </c>
      <c r="F24" s="24" t="n">
        <v>1</v>
      </c>
      <c r="G24" s="33">
        <f>IF(F24&lt;=0,0,D24+E24*(F24-1))</f>
        <v/>
      </c>
    </row>
    <row r="25">
      <c r="A25" s="9" t="inlineStr">
        <is>
          <t>Escudo de Sincronia</t>
        </is>
      </c>
      <c r="B25" s="10" t="inlineStr">
        <is>
          <t>Incomum</t>
        </is>
      </c>
      <c r="C25" s="11" t="inlineStr">
        <is>
          <t>ShieldFraction</t>
        </is>
      </c>
      <c r="D25" s="33" t="n">
        <v>0.08</v>
      </c>
      <c r="E25" s="33" t="n">
        <v>0.08</v>
      </c>
      <c r="F25" s="24" t="n">
        <v>1</v>
      </c>
      <c r="G25" s="33">
        <f>IF(F25&lt;=0,0,D25+E25*(F25-1))</f>
        <v/>
      </c>
    </row>
    <row r="26">
      <c r="A26" s="9" t="inlineStr">
        <is>
          <t>Injetor de Adrenalina</t>
        </is>
      </c>
      <c r="B26" s="10" t="inlineStr">
        <is>
          <t>Incomum</t>
        </is>
      </c>
      <c r="C26" s="11" t="inlineStr">
        <is>
          <t>AdrenalineDuration</t>
        </is>
      </c>
      <c r="D26" s="33" t="n">
        <v>4</v>
      </c>
      <c r="E26" s="33" t="n">
        <v>4</v>
      </c>
      <c r="F26" s="24" t="n">
        <v>1</v>
      </c>
      <c r="G26" s="33">
        <f>IF(F26&lt;=0,0,D26+E26*(F26-1))</f>
        <v/>
      </c>
    </row>
    <row r="27">
      <c r="A27" s="9" t="inlineStr">
        <is>
          <t>Munição Atordoante</t>
        </is>
      </c>
      <c r="B27" s="10" t="inlineStr">
        <is>
          <t>Incomum</t>
        </is>
      </c>
      <c r="C27" s="11" t="inlineStr">
        <is>
          <t>SlowChance</t>
        </is>
      </c>
      <c r="D27" s="33" t="n">
        <v>0.15</v>
      </c>
      <c r="E27" s="33" t="n">
        <v>0</v>
      </c>
      <c r="F27" s="24" t="n">
        <v>1</v>
      </c>
      <c r="G27" s="33">
        <f>IF(F27&lt;=0,0,D27+E27*(F27-1))</f>
        <v/>
      </c>
    </row>
    <row r="28">
      <c r="A28" s="9" t="inlineStr">
        <is>
          <t>Munição Atordoante</t>
        </is>
      </c>
      <c r="B28" s="10" t="inlineStr">
        <is>
          <t>Incomum</t>
        </is>
      </c>
      <c r="C28" s="11" t="inlineStr">
        <is>
          <t>SlowAmount</t>
        </is>
      </c>
      <c r="D28" s="33" t="n">
        <v>0.3</v>
      </c>
      <c r="E28" s="33" t="n">
        <v>0.1</v>
      </c>
      <c r="F28" s="24" t="n">
        <v>1</v>
      </c>
      <c r="G28" s="33">
        <f>IF(F28&lt;=0,0,D28+E28*(F28-1))</f>
        <v/>
      </c>
    </row>
    <row r="29">
      <c r="A29" s="9" t="inlineStr">
        <is>
          <t>Propulsor Auxiliar</t>
        </is>
      </c>
      <c r="B29" s="10" t="inlineStr">
        <is>
          <t>Incomum</t>
        </is>
      </c>
      <c r="C29" s="11" t="inlineStr">
        <is>
          <t>AirJumps</t>
        </is>
      </c>
      <c r="D29" s="33" t="n">
        <v>1</v>
      </c>
      <c r="E29" s="33" t="n">
        <v>1</v>
      </c>
      <c r="F29" s="24" t="n">
        <v>1</v>
      </c>
      <c r="G29" s="33">
        <f>IF(F29&lt;=0,0,D29+E29*(F29-1))</f>
        <v/>
      </c>
    </row>
    <row r="30">
      <c r="A30" s="9" t="inlineStr">
        <is>
          <t>Resina Volátil</t>
        </is>
      </c>
      <c r="B30" s="10" t="inlineStr">
        <is>
          <t>Incomum</t>
        </is>
      </c>
      <c r="C30" s="11" t="inlineStr">
        <is>
          <t>ExplosionDamage</t>
        </is>
      </c>
      <c r="D30" s="33" t="n">
        <v>1.5</v>
      </c>
      <c r="E30" s="33" t="n">
        <v>0.75</v>
      </c>
      <c r="F30" s="24" t="n">
        <v>1</v>
      </c>
      <c r="G30" s="33">
        <f>IF(F30&lt;=0,0,D30+E30*(F30-1))</f>
        <v/>
      </c>
    </row>
    <row r="31">
      <c r="A31" s="9" t="inlineStr">
        <is>
          <t>Resina Volátil</t>
        </is>
      </c>
      <c r="B31" s="10" t="inlineStr">
        <is>
          <t>Incomum</t>
        </is>
      </c>
      <c r="C31" s="11" t="inlineStr">
        <is>
          <t>ExplosionRadius</t>
        </is>
      </c>
      <c r="D31" s="33" t="n">
        <v>4</v>
      </c>
      <c r="E31" s="33" t="n">
        <v>1.5</v>
      </c>
      <c r="F31" s="24" t="n">
        <v>1</v>
      </c>
      <c r="G31" s="33">
        <f>IF(F31&lt;=0,0,D31+E31*(F31-1))</f>
        <v/>
      </c>
    </row>
    <row r="32">
      <c r="A32" s="15" t="inlineStr">
        <is>
          <t>Amplificador Focal</t>
        </is>
      </c>
      <c r="B32" s="16" t="inlineStr">
        <is>
          <t>Raro</t>
        </is>
      </c>
      <c r="C32" s="17" t="inlineStr">
        <is>
          <t>CritDamage</t>
        </is>
      </c>
      <c r="D32" s="34" t="n">
        <v>1</v>
      </c>
      <c r="E32" s="34" t="n">
        <v>1</v>
      </c>
      <c r="F32" s="26" t="n">
        <v>1</v>
      </c>
      <c r="G32" s="34">
        <f>IF(F32&lt;=0,0,D32+E32*(F32-1))</f>
        <v/>
      </c>
    </row>
    <row r="33">
      <c r="A33" s="15" t="inlineStr">
        <is>
          <t>Coração Aeônida</t>
        </is>
      </c>
      <c r="B33" s="16" t="inlineStr">
        <is>
          <t>Raro</t>
        </is>
      </c>
      <c r="C33" s="17" t="inlineStr">
        <is>
          <t>DamagePerTenthMultiplier</t>
        </is>
      </c>
      <c r="D33" s="34" t="n">
        <v>0.01</v>
      </c>
      <c r="E33" s="34" t="n">
        <v>0.01</v>
      </c>
      <c r="F33" s="26" t="n">
        <v>1</v>
      </c>
      <c r="G33" s="34">
        <f>IF(F33&lt;=0,0,D33+E33*(F33-1))</f>
        <v/>
      </c>
    </row>
    <row r="34">
      <c r="A34" s="15" t="inlineStr">
        <is>
          <t>Câmara Dupla</t>
        </is>
      </c>
      <c r="B34" s="16" t="inlineStr">
        <is>
          <t>Raro</t>
        </is>
      </c>
      <c r="C34" s="17" t="inlineStr">
        <is>
          <t>DashCharges</t>
        </is>
      </c>
      <c r="D34" s="34" t="n">
        <v>1</v>
      </c>
      <c r="E34" s="34" t="n">
        <v>1</v>
      </c>
      <c r="F34" s="26" t="n">
        <v>1</v>
      </c>
      <c r="G34" s="34">
        <f>IF(F34&lt;=0,0,D34+E34*(F34-1))</f>
        <v/>
      </c>
    </row>
    <row r="35">
      <c r="A35" s="15" t="inlineStr">
        <is>
          <t>Mísseis de Sondagem</t>
        </is>
      </c>
      <c r="B35" s="16" t="inlineStr">
        <is>
          <t>Raro</t>
        </is>
      </c>
      <c r="C35" s="17" t="inlineStr">
        <is>
          <t>MissileChance</t>
        </is>
      </c>
      <c r="D35" s="34" t="n">
        <v>0.1</v>
      </c>
      <c r="E35" s="34" t="n">
        <v>0</v>
      </c>
      <c r="F35" s="26" t="n">
        <v>1</v>
      </c>
      <c r="G35" s="34">
        <f>IF(F35&lt;=0,0,D35+E35*(F35-1))</f>
        <v/>
      </c>
    </row>
    <row r="36">
      <c r="A36" s="15" t="inlineStr">
        <is>
          <t>Mísseis de Sondagem</t>
        </is>
      </c>
      <c r="B36" s="16" t="inlineStr">
        <is>
          <t>Raro</t>
        </is>
      </c>
      <c r="C36" s="17" t="inlineStr">
        <is>
          <t>MissileDamage</t>
        </is>
      </c>
      <c r="D36" s="34" t="n">
        <v>3</v>
      </c>
      <c r="E36" s="34" t="n">
        <v>3</v>
      </c>
      <c r="F36" s="26" t="n">
        <v>1</v>
      </c>
      <c r="G36" s="34">
        <f>IF(F36&lt;=0,0,D36+E36*(F36-1))</f>
        <v/>
      </c>
    </row>
    <row r="37">
      <c r="A37" s="15" t="inlineStr">
        <is>
          <t>Segunda Ignição</t>
        </is>
      </c>
      <c r="B37" s="16" t="inlineStr">
        <is>
          <t>Raro</t>
        </is>
      </c>
      <c r="C37" s="17" t="inlineStr">
        <is>
          <t>Revives</t>
        </is>
      </c>
      <c r="D37" s="34" t="n">
        <v>1</v>
      </c>
      <c r="E37" s="34" t="n">
        <v>1</v>
      </c>
      <c r="F37" s="26" t="n">
        <v>1</v>
      </c>
      <c r="G37" s="34">
        <f>IF(F37&lt;=0,0,D37+E37*(F37-1))</f>
        <v/>
      </c>
    </row>
    <row r="39">
      <c r="A39" s="35" t="inlineStr">
        <is>
          <t>Mude a coluna Pilhas (azul) para ver o valor de cada atributo com várias pilhas (acúmulo linear: 1ª pilha + por pilha x (pilhas - 1)). Frações como 0,06 são 6%.</t>
        </is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2026-10-16T19:24:49Z</dcterms:created>
  <dcterms:modified xsi:type="dcterms:W3CDTF">2026-10-16T19:24:49Z</dcterms:modified>
</cp:coreProperties>
</file>